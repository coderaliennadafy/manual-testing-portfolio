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ummary Report" sheetId="1" r:id="rId5"/>
  </sheets>
  <definedNames/>
  <calcPr/>
</workbook>
</file>

<file path=xl/sharedStrings.xml><?xml version="1.0" encoding="utf-8"?>
<sst xmlns="http://schemas.openxmlformats.org/spreadsheetml/2006/main" count="170" uniqueCount="90">
  <si>
    <t>📊  E-Commerce Manual Testing — Test Summary Report</t>
  </si>
  <si>
    <t>Application: nopCommerce Demo Store  |  Tester: Ali Ennadafy  |  Period: Feb–Mar 2026  |  Environment: Chrome / Windows 10</t>
  </si>
  <si>
    <t>MODULE TESTING SUMMARY</t>
  </si>
  <si>
    <t>#</t>
  </si>
  <si>
    <t>Module</t>
  </si>
  <si>
    <t>Test Case Range</t>
  </si>
  <si>
    <t>Total TCs</t>
  </si>
  <si>
    <t>Passed</t>
  </si>
  <si>
    <t>Failed</t>
  </si>
  <si>
    <t>Blocked</t>
  </si>
  <si>
    <t>N/A</t>
  </si>
  <si>
    <t>Pass Rate</t>
  </si>
  <si>
    <t>Priority</t>
  </si>
  <si>
    <t>Status</t>
  </si>
  <si>
    <t>Tester</t>
  </si>
  <si>
    <t>Date</t>
  </si>
  <si>
    <t>Registration</t>
  </si>
  <si>
    <t>TC-REG-01 → TC-REG-40</t>
  </si>
  <si>
    <t>High</t>
  </si>
  <si>
    <t>✅ Completed</t>
  </si>
  <si>
    <t>Ali Ennadafy</t>
  </si>
  <si>
    <t>20 Feb 2026</t>
  </si>
  <si>
    <t>Login</t>
  </si>
  <si>
    <t>TC-LG-01 → TC-LG-38</t>
  </si>
  <si>
    <t>22 Feb 2026</t>
  </si>
  <si>
    <t>Logout &amp; Session Mgmt</t>
  </si>
  <si>
    <t>TC-LOG-01 → TC-LOG-17</t>
  </si>
  <si>
    <t>25 Feb 2026</t>
  </si>
  <si>
    <t>Session Expiry</t>
  </si>
  <si>
    <t>TC-SES-01 → TC-SES-09</t>
  </si>
  <si>
    <t>Medium</t>
  </si>
  <si>
    <t>26 Feb 2026</t>
  </si>
  <si>
    <t>Product Listing</t>
  </si>
  <si>
    <t>TC-PL-01 → TC-PL-45</t>
  </si>
  <si>
    <t>07 Mar 2026</t>
  </si>
  <si>
    <t>Product Details</t>
  </si>
  <si>
    <t>TC-PD-01 → TC-PD-20</t>
  </si>
  <si>
    <t>09 Mar 2026</t>
  </si>
  <si>
    <t>Search &amp; Filter</t>
  </si>
  <si>
    <t>TC-SF-01 → TC-SF-20</t>
  </si>
  <si>
    <t>11 Mar 2026</t>
  </si>
  <si>
    <t>Shopping Cart</t>
  </si>
  <si>
    <t>TC-CART-01 → TC-CART-15</t>
  </si>
  <si>
    <t>13 Mar 2026</t>
  </si>
  <si>
    <t>Checkout</t>
  </si>
  <si>
    <t>TC-CHK-01 → TC-CHK-14</t>
  </si>
  <si>
    <t>15 Mar 2026</t>
  </si>
  <si>
    <t>Order Confirmation</t>
  </si>
  <si>
    <t>TC_01 → TC_09</t>
  </si>
  <si>
    <t>17 Mar 2026</t>
  </si>
  <si>
    <t>Order History</t>
  </si>
  <si>
    <t>TC-OH-01 → TC-OH-19</t>
  </si>
  <si>
    <t>Low</t>
  </si>
  <si>
    <t>18 Mar 2026</t>
  </si>
  <si>
    <t>User Profile</t>
  </si>
  <si>
    <t>TC-UP-01 → TC-UP-38</t>
  </si>
  <si>
    <t>20 Mar 2026</t>
  </si>
  <si>
    <t>TOTAL</t>
  </si>
  <si>
    <t>DEFECTS SUMMARY</t>
  </si>
  <si>
    <t>Bug ID</t>
  </si>
  <si>
    <t>Title</t>
  </si>
  <si>
    <t>Severity</t>
  </si>
  <si>
    <t>BUG_REG_001</t>
  </si>
  <si>
    <t>Internal server error on 1000+ char input</t>
  </si>
  <si>
    <t>Open</t>
  </si>
  <si>
    <t>BUG_REG_004</t>
  </si>
  <si>
    <t>Password with only spaces accepted</t>
  </si>
  <si>
    <t>BUG_REG_007</t>
  </si>
  <si>
    <t>Internal server error on Company field overflow</t>
  </si>
  <si>
    <t>BUG_LOG_001</t>
  </si>
  <si>
    <t>No field-level validation on empty password</t>
  </si>
  <si>
    <t>BUG-PD-001</t>
  </si>
  <si>
    <t>Image zoom not working on product details page</t>
  </si>
  <si>
    <t>BUG-SF-01</t>
  </si>
  <si>
    <t>No results when combining multiple filters</t>
  </si>
  <si>
    <t>BUG_UP_01</t>
  </si>
  <si>
    <t>System accepts weak passwords (no complexity check)</t>
  </si>
  <si>
    <t>BUG_UP_06</t>
  </si>
  <si>
    <t>Sessions not invalidated after password change</t>
  </si>
  <si>
    <t>Critical</t>
  </si>
  <si>
    <t>BUG_UP_09</t>
  </si>
  <si>
    <t>No session timeout — indefinite login session</t>
  </si>
  <si>
    <t>BUG_UP_10</t>
  </si>
  <si>
    <t>Session does not expire after long inactivity</t>
  </si>
  <si>
    <t>BUG_UP_27</t>
  </si>
  <si>
    <t>DB error on 1000+ chars in First Name</t>
  </si>
  <si>
    <t>BUG_OH_01</t>
  </si>
  <si>
    <t>Missing pagination for large order datasets</t>
  </si>
  <si>
    <t>CONCLUSION &amp; RECOMMENDATIONS</t>
  </si>
  <si>
    <t>All 12 modules of the nopCommerce E-Commerce application were tested and 284 test cases were executed in total The overall pass rate is approximately 90.1%. Critical security defects were identified in session management (no timeout, sessions not invalidated after password change) High-severity issues were found in input validation (server errors on oversized inputs) Recommendations: (1) Implement session timeout and invalidation on password change. (2) Add backend validation for maximum field lengths, (3) Enforce password complexity rules. (4) Fix image zoom feature on Product Details page (5) Investigate advanced search filter combination logic.</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</si>
</sst>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FFFFFF"/>
      <name val="Arial"/>
    </font>
    <font/>
    <font>
      <sz val="10.0"/>
      <color rgb="FF1F3864"/>
      <name val="Arial"/>
    </font>
    <font>
      <b/>
      <sz val="11.0"/>
      <color rgb="FFFFFFFF"/>
      <name val="Arial"/>
    </font>
    <font>
      <b/>
      <sz val="10.0"/>
      <color rgb="FFFFFFFF"/>
      <name val="Arial"/>
    </font>
    <font>
      <sz val="10.0"/>
      <color rgb="FF000000"/>
      <name val="Arial"/>
    </font>
    <font>
      <b/>
      <sz val="10.0"/>
      <color rgb="FFFF7043"/>
      <name val="Arial"/>
    </font>
    <font>
      <b/>
      <sz val="10.0"/>
      <color rgb="FFFFD600"/>
      <name val="Arial"/>
    </font>
    <font>
      <b/>
      <sz val="10.0"/>
      <color rgb="FFFF0000"/>
      <name val="Arial"/>
    </font>
  </fonts>
  <fills count="11">
    <fill>
      <patternFill patternType="none"/>
    </fill>
    <fill>
      <patternFill patternType="lightGray"/>
    </fill>
    <fill>
      <patternFill patternType="solid">
        <fgColor rgb="FF2E75B6"/>
        <bgColor rgb="FF2E75B6"/>
      </patternFill>
    </fill>
    <fill>
      <patternFill patternType="solid">
        <fgColor rgb="FFD6E4F0"/>
        <bgColor rgb="FFD6E4F0"/>
      </patternFill>
    </fill>
    <fill>
      <patternFill patternType="solid">
        <fgColor rgb="FF1F3864"/>
        <bgColor rgb="FF1F3864"/>
      </patternFill>
    </fill>
    <fill>
      <patternFill patternType="solid">
        <fgColor rgb="FFEBF3FB"/>
        <bgColor rgb="FFEBF3FB"/>
      </patternFill>
    </fill>
    <fill>
      <patternFill patternType="solid">
        <fgColor rgb="FFC6EFCE"/>
        <bgColor rgb="FFC6EFCE"/>
      </patternFill>
    </fill>
    <fill>
      <patternFill patternType="solid">
        <fgColor rgb="FFFFC7CE"/>
        <bgColor rgb="FFFFC7CE"/>
      </patternFill>
    </fill>
    <fill>
      <patternFill patternType="solid">
        <fgColor rgb="FFFFFFFF"/>
        <bgColor rgb="FFFFFFFF"/>
      </patternFill>
    </fill>
    <fill>
      <patternFill patternType="solid">
        <fgColor rgb="FFFFEB9C"/>
        <bgColor rgb="FFFFEB9C"/>
      </patternFill>
    </fill>
    <fill>
      <patternFill patternType="solid">
        <fgColor rgb="FFD9D9D9"/>
        <bgColor rgb="FFD9D9D9"/>
      </patternFill>
    </fill>
  </fills>
  <borders count="16">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0"/>
    </xf>
    <xf borderId="1" fillId="4" fontId="4" numFmtId="0" xfId="0" applyAlignment="1" applyBorder="1" applyFill="1" applyFont="1">
      <alignment horizontal="center" shrinkToFit="0" vertical="center" wrapText="0"/>
    </xf>
    <xf borderId="4" fillId="2" fontId="5" numFmtId="0" xfId="0" applyAlignment="1" applyBorder="1" applyFont="1">
      <alignment horizontal="center" shrinkToFit="0" vertical="center" wrapText="0"/>
    </xf>
    <xf borderId="4" fillId="5" fontId="6" numFmtId="0" xfId="0" applyAlignment="1" applyBorder="1" applyFill="1" applyFont="1">
      <alignment horizontal="center" shrinkToFit="0" vertical="center" wrapText="0"/>
    </xf>
    <xf borderId="4" fillId="5" fontId="6" numFmtId="0" xfId="0" applyAlignment="1" applyBorder="1" applyFont="1">
      <alignment horizontal="left" shrinkToFit="0" vertical="center" wrapText="1"/>
    </xf>
    <xf borderId="4" fillId="6" fontId="6" numFmtId="0" xfId="0" applyAlignment="1" applyBorder="1" applyFill="1" applyFont="1">
      <alignment horizontal="center" shrinkToFit="0" vertical="center" wrapText="0"/>
    </xf>
    <xf borderId="4" fillId="7" fontId="6" numFmtId="0" xfId="0" applyAlignment="1" applyBorder="1" applyFill="1" applyFont="1">
      <alignment horizontal="center" shrinkToFit="0" vertical="center" wrapText="0"/>
    </xf>
    <xf borderId="4" fillId="8" fontId="6" numFmtId="0" xfId="0" applyAlignment="1" applyBorder="1" applyFill="1" applyFont="1">
      <alignment horizontal="center" shrinkToFit="0" vertical="center" wrapText="0"/>
    </xf>
    <xf borderId="4" fillId="8" fontId="6" numFmtId="0" xfId="0" applyAlignment="1" applyBorder="1" applyFont="1">
      <alignment horizontal="left" shrinkToFit="0" vertical="center" wrapText="1"/>
    </xf>
    <xf borderId="4" fillId="9" fontId="6" numFmtId="0" xfId="0" applyAlignment="1" applyBorder="1" applyFill="1" applyFont="1">
      <alignment horizontal="center" shrinkToFit="0" vertical="center" wrapText="0"/>
    </xf>
    <xf borderId="4" fillId="10" fontId="6" numFmtId="0" xfId="0" applyAlignment="1" applyBorder="1" applyFill="1" applyFont="1">
      <alignment horizontal="center" shrinkToFit="0" vertical="center" wrapText="0"/>
    </xf>
    <xf borderId="5" fillId="4" fontId="5" numFmtId="0" xfId="0" applyAlignment="1" applyBorder="1" applyFont="1">
      <alignment horizontal="center" shrinkToFit="0" vertical="center" wrapText="0"/>
    </xf>
    <xf borderId="6" fillId="0" fontId="2" numFmtId="0" xfId="0" applyBorder="1" applyFont="1"/>
    <xf borderId="7" fillId="0" fontId="2" numFmtId="0" xfId="0" applyBorder="1" applyFont="1"/>
    <xf borderId="4" fillId="4" fontId="5" numFmtId="0" xfId="0" applyAlignment="1" applyBorder="1" applyFont="1">
      <alignment horizontal="center" shrinkToFit="0" vertical="center" wrapText="0"/>
    </xf>
    <xf borderId="4" fillId="5" fontId="7" numFmtId="0" xfId="0" applyAlignment="1" applyBorder="1" applyFont="1">
      <alignment horizontal="center" shrinkToFit="0" vertical="center" wrapText="0"/>
    </xf>
    <xf borderId="4" fillId="8" fontId="7" numFmtId="0" xfId="0" applyAlignment="1" applyBorder="1" applyFont="1">
      <alignment horizontal="center" shrinkToFit="0" vertical="center" wrapText="0"/>
    </xf>
    <xf borderId="4" fillId="5" fontId="6" numFmtId="0" xfId="0" applyAlignment="1" applyBorder="1" applyFont="1">
      <alignment horizontal="left" readingOrder="0" shrinkToFit="0" vertical="center" wrapText="1"/>
    </xf>
    <xf borderId="4" fillId="8" fontId="8" numFmtId="0" xfId="0" applyAlignment="1" applyBorder="1" applyFont="1">
      <alignment horizontal="center" shrinkToFit="0" vertical="center" wrapText="0"/>
    </xf>
    <xf borderId="4" fillId="5" fontId="8" numFmtId="0" xfId="0" applyAlignment="1" applyBorder="1" applyFont="1">
      <alignment horizontal="center" shrinkToFit="0" vertical="center" wrapText="0"/>
    </xf>
    <xf borderId="4" fillId="8" fontId="9" numFmtId="0" xfId="0" applyAlignment="1" applyBorder="1" applyFont="1">
      <alignment horizontal="center" shrinkToFit="0" vertical="center" wrapText="0"/>
    </xf>
    <xf borderId="4" fillId="5" fontId="9" numFmtId="0" xfId="0" applyAlignment="1" applyBorder="1" applyFont="1">
      <alignment horizontal="center" shrinkToFit="0" vertical="center" wrapText="0"/>
    </xf>
    <xf borderId="8" fillId="5" fontId="6" numFmtId="0" xfId="0" applyAlignment="1" applyBorder="1" applyFont="1">
      <alignment horizontal="left" readingOrder="0" shrinkToFit="0" vertical="center" wrapText="1"/>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28.0"/>
    <col customWidth="1" min="3" max="3" width="48.71"/>
    <col customWidth="1" min="4" max="7" width="9.0"/>
    <col customWidth="1" min="8" max="8" width="7.0"/>
    <col customWidth="1" min="9" max="10" width="10.0"/>
    <col customWidth="1" min="11" max="12" width="16.0"/>
    <col customWidth="1" min="13" max="13" width="14.0"/>
    <col customWidth="1" min="14" max="26" width="8.71"/>
  </cols>
  <sheetData>
    <row r="1" ht="31.5" customHeight="1">
      <c r="A1" s="1" t="s">
        <v>0</v>
      </c>
      <c r="B1" s="2"/>
      <c r="C1" s="2"/>
      <c r="D1" s="2"/>
      <c r="E1" s="2"/>
      <c r="F1" s="2"/>
      <c r="G1" s="2"/>
      <c r="H1" s="2"/>
      <c r="I1" s="2"/>
      <c r="J1" s="2"/>
      <c r="K1" s="2"/>
      <c r="L1" s="2"/>
      <c r="M1" s="3"/>
    </row>
    <row r="2" ht="19.5" customHeight="1">
      <c r="A2" s="4" t="s">
        <v>1</v>
      </c>
      <c r="B2" s="2"/>
      <c r="C2" s="2"/>
      <c r="D2" s="2"/>
      <c r="E2" s="2"/>
      <c r="F2" s="2"/>
      <c r="G2" s="2"/>
      <c r="H2" s="2"/>
      <c r="I2" s="2"/>
      <c r="J2" s="2"/>
      <c r="K2" s="2"/>
      <c r="L2" s="2"/>
      <c r="M2" s="3"/>
    </row>
    <row r="3" ht="7.5" customHeight="1"/>
    <row r="4" ht="21.75" customHeight="1">
      <c r="A4" s="5" t="s">
        <v>2</v>
      </c>
      <c r="B4" s="2"/>
      <c r="C4" s="2"/>
      <c r="D4" s="2"/>
      <c r="E4" s="2"/>
      <c r="F4" s="2"/>
      <c r="G4" s="2"/>
      <c r="H4" s="2"/>
      <c r="I4" s="2"/>
      <c r="J4" s="2"/>
      <c r="K4" s="2"/>
      <c r="L4" s="2"/>
      <c r="M4" s="3"/>
    </row>
    <row r="5" ht="19.5" customHeight="1">
      <c r="A5" s="6" t="s">
        <v>3</v>
      </c>
      <c r="B5" s="6" t="s">
        <v>4</v>
      </c>
      <c r="C5" s="6" t="s">
        <v>5</v>
      </c>
      <c r="D5" s="6" t="s">
        <v>6</v>
      </c>
      <c r="E5" s="6" t="s">
        <v>7</v>
      </c>
      <c r="F5" s="6" t="s">
        <v>8</v>
      </c>
      <c r="G5" s="6" t="s">
        <v>9</v>
      </c>
      <c r="H5" s="6" t="s">
        <v>10</v>
      </c>
      <c r="I5" s="6" t="s">
        <v>11</v>
      </c>
      <c r="J5" s="6" t="s">
        <v>12</v>
      </c>
      <c r="K5" s="6" t="s">
        <v>13</v>
      </c>
      <c r="L5" s="6" t="s">
        <v>14</v>
      </c>
      <c r="M5" s="6" t="s">
        <v>15</v>
      </c>
    </row>
    <row r="6" ht="18.0" customHeight="1">
      <c r="A6" s="7">
        <v>1.0</v>
      </c>
      <c r="B6" s="8" t="s">
        <v>16</v>
      </c>
      <c r="C6" s="7" t="s">
        <v>17</v>
      </c>
      <c r="D6" s="7">
        <v>40.0</v>
      </c>
      <c r="E6" s="9">
        <v>37.0</v>
      </c>
      <c r="F6" s="10">
        <v>3.0</v>
      </c>
      <c r="G6" s="7">
        <v>0.0</v>
      </c>
      <c r="H6" s="7">
        <v>0.0</v>
      </c>
      <c r="I6" s="7" t="str">
        <f t="shared" ref="I6:I17" si="1">ROUND(F6/D6*100,1)&amp;"%"</f>
        <v>7,5%</v>
      </c>
      <c r="J6" s="7" t="s">
        <v>18</v>
      </c>
      <c r="K6" s="7" t="s">
        <v>19</v>
      </c>
      <c r="L6" s="7" t="s">
        <v>20</v>
      </c>
      <c r="M6" s="7" t="s">
        <v>21</v>
      </c>
    </row>
    <row r="7" ht="18.0" customHeight="1">
      <c r="A7" s="11">
        <v>2.0</v>
      </c>
      <c r="B7" s="12" t="s">
        <v>22</v>
      </c>
      <c r="C7" s="11" t="s">
        <v>23</v>
      </c>
      <c r="D7" s="11">
        <v>38.0</v>
      </c>
      <c r="E7" s="9">
        <v>35.0</v>
      </c>
      <c r="F7" s="10">
        <v>1.0</v>
      </c>
      <c r="G7" s="13">
        <v>2.0</v>
      </c>
      <c r="H7" s="11">
        <v>0.0</v>
      </c>
      <c r="I7" s="11" t="str">
        <f t="shared" si="1"/>
        <v>2,6%</v>
      </c>
      <c r="J7" s="11" t="s">
        <v>18</v>
      </c>
      <c r="K7" s="11" t="s">
        <v>19</v>
      </c>
      <c r="L7" s="11" t="s">
        <v>20</v>
      </c>
      <c r="M7" s="11" t="s">
        <v>24</v>
      </c>
    </row>
    <row r="8" ht="18.0" customHeight="1">
      <c r="A8" s="7">
        <v>3.0</v>
      </c>
      <c r="B8" s="8" t="s">
        <v>25</v>
      </c>
      <c r="C8" s="7" t="s">
        <v>26</v>
      </c>
      <c r="D8" s="7">
        <v>17.0</v>
      </c>
      <c r="E8" s="9">
        <v>17.0</v>
      </c>
      <c r="F8" s="7">
        <v>0.0</v>
      </c>
      <c r="G8" s="7">
        <v>0.0</v>
      </c>
      <c r="H8" s="7">
        <v>0.0</v>
      </c>
      <c r="I8" s="7" t="str">
        <f t="shared" si="1"/>
        <v>0%</v>
      </c>
      <c r="J8" s="7" t="s">
        <v>18</v>
      </c>
      <c r="K8" s="7" t="s">
        <v>19</v>
      </c>
      <c r="L8" s="7" t="s">
        <v>20</v>
      </c>
      <c r="M8" s="7" t="s">
        <v>27</v>
      </c>
    </row>
    <row r="9" ht="18.0" customHeight="1">
      <c r="A9" s="11">
        <v>4.0</v>
      </c>
      <c r="B9" s="12" t="s">
        <v>28</v>
      </c>
      <c r="C9" s="11" t="s">
        <v>29</v>
      </c>
      <c r="D9" s="11">
        <v>9.0</v>
      </c>
      <c r="E9" s="9">
        <v>9.0</v>
      </c>
      <c r="F9" s="11">
        <v>0.0</v>
      </c>
      <c r="G9" s="11">
        <v>0.0</v>
      </c>
      <c r="H9" s="11">
        <v>0.0</v>
      </c>
      <c r="I9" s="11" t="str">
        <f t="shared" si="1"/>
        <v>0%</v>
      </c>
      <c r="J9" s="11" t="s">
        <v>30</v>
      </c>
      <c r="K9" s="11" t="s">
        <v>19</v>
      </c>
      <c r="L9" s="11" t="s">
        <v>20</v>
      </c>
      <c r="M9" s="11" t="s">
        <v>31</v>
      </c>
    </row>
    <row r="10" ht="18.0" customHeight="1">
      <c r="A10" s="7">
        <v>5.0</v>
      </c>
      <c r="B10" s="8" t="s">
        <v>32</v>
      </c>
      <c r="C10" s="7" t="s">
        <v>33</v>
      </c>
      <c r="D10" s="7">
        <v>45.0</v>
      </c>
      <c r="E10" s="9">
        <v>38.0</v>
      </c>
      <c r="F10" s="7">
        <v>0.0</v>
      </c>
      <c r="G10" s="13">
        <v>1.0</v>
      </c>
      <c r="H10" s="14">
        <v>6.0</v>
      </c>
      <c r="I10" s="7" t="str">
        <f t="shared" si="1"/>
        <v>0%</v>
      </c>
      <c r="J10" s="7" t="s">
        <v>18</v>
      </c>
      <c r="K10" s="7" t="s">
        <v>19</v>
      </c>
      <c r="L10" s="7" t="s">
        <v>20</v>
      </c>
      <c r="M10" s="7" t="s">
        <v>34</v>
      </c>
    </row>
    <row r="11" ht="18.0" customHeight="1">
      <c r="A11" s="11">
        <v>6.0</v>
      </c>
      <c r="B11" s="12" t="s">
        <v>35</v>
      </c>
      <c r="C11" s="11" t="s">
        <v>36</v>
      </c>
      <c r="D11" s="11">
        <v>20.0</v>
      </c>
      <c r="E11" s="9">
        <v>19.0</v>
      </c>
      <c r="F11" s="10">
        <v>1.0</v>
      </c>
      <c r="G11" s="11">
        <v>0.0</v>
      </c>
      <c r="H11" s="11">
        <v>0.0</v>
      </c>
      <c r="I11" s="11" t="str">
        <f t="shared" si="1"/>
        <v>5%</v>
      </c>
      <c r="J11" s="11" t="s">
        <v>18</v>
      </c>
      <c r="K11" s="11" t="s">
        <v>19</v>
      </c>
      <c r="L11" s="11" t="s">
        <v>20</v>
      </c>
      <c r="M11" s="11" t="s">
        <v>37</v>
      </c>
    </row>
    <row r="12" ht="18.0" customHeight="1">
      <c r="A12" s="7">
        <v>7.0</v>
      </c>
      <c r="B12" s="8" t="s">
        <v>38</v>
      </c>
      <c r="C12" s="7" t="s">
        <v>39</v>
      </c>
      <c r="D12" s="7">
        <v>20.0</v>
      </c>
      <c r="E12" s="9">
        <v>19.0</v>
      </c>
      <c r="F12" s="10">
        <v>1.0</v>
      </c>
      <c r="G12" s="7">
        <v>0.0</v>
      </c>
      <c r="H12" s="7">
        <v>0.0</v>
      </c>
      <c r="I12" s="7" t="str">
        <f t="shared" si="1"/>
        <v>5%</v>
      </c>
      <c r="J12" s="7" t="s">
        <v>30</v>
      </c>
      <c r="K12" s="7" t="s">
        <v>19</v>
      </c>
      <c r="L12" s="7" t="s">
        <v>20</v>
      </c>
      <c r="M12" s="7" t="s">
        <v>40</v>
      </c>
    </row>
    <row r="13" ht="18.0" customHeight="1">
      <c r="A13" s="11">
        <v>8.0</v>
      </c>
      <c r="B13" s="12" t="s">
        <v>41</v>
      </c>
      <c r="C13" s="11" t="s">
        <v>42</v>
      </c>
      <c r="D13" s="11">
        <v>15.0</v>
      </c>
      <c r="E13" s="9">
        <v>15.0</v>
      </c>
      <c r="F13" s="11">
        <v>0.0</v>
      </c>
      <c r="G13" s="11">
        <v>0.0</v>
      </c>
      <c r="H13" s="11">
        <v>0.0</v>
      </c>
      <c r="I13" s="11" t="str">
        <f t="shared" si="1"/>
        <v>0%</v>
      </c>
      <c r="J13" s="11" t="s">
        <v>18</v>
      </c>
      <c r="K13" s="11" t="s">
        <v>19</v>
      </c>
      <c r="L13" s="11" t="s">
        <v>20</v>
      </c>
      <c r="M13" s="11" t="s">
        <v>43</v>
      </c>
    </row>
    <row r="14" ht="18.0" customHeight="1">
      <c r="A14" s="7">
        <v>9.0</v>
      </c>
      <c r="B14" s="8" t="s">
        <v>44</v>
      </c>
      <c r="C14" s="7" t="s">
        <v>45</v>
      </c>
      <c r="D14" s="7">
        <v>14.0</v>
      </c>
      <c r="E14" s="9">
        <v>13.0</v>
      </c>
      <c r="F14" s="7">
        <v>0.0</v>
      </c>
      <c r="G14" s="7">
        <v>0.0</v>
      </c>
      <c r="H14" s="14">
        <v>1.0</v>
      </c>
      <c r="I14" s="7" t="str">
        <f t="shared" si="1"/>
        <v>0%</v>
      </c>
      <c r="J14" s="7" t="s">
        <v>18</v>
      </c>
      <c r="K14" s="7" t="s">
        <v>19</v>
      </c>
      <c r="L14" s="7" t="s">
        <v>20</v>
      </c>
      <c r="M14" s="7" t="s">
        <v>46</v>
      </c>
    </row>
    <row r="15" ht="18.0" customHeight="1">
      <c r="A15" s="11">
        <v>10.0</v>
      </c>
      <c r="B15" s="12" t="s">
        <v>47</v>
      </c>
      <c r="C15" s="11" t="s">
        <v>48</v>
      </c>
      <c r="D15" s="11">
        <v>9.0</v>
      </c>
      <c r="E15" s="9">
        <v>9.0</v>
      </c>
      <c r="F15" s="11">
        <v>0.0</v>
      </c>
      <c r="G15" s="11">
        <v>0.0</v>
      </c>
      <c r="H15" s="11">
        <v>0.0</v>
      </c>
      <c r="I15" s="11" t="str">
        <f t="shared" si="1"/>
        <v>0%</v>
      </c>
      <c r="J15" s="11" t="s">
        <v>18</v>
      </c>
      <c r="K15" s="11" t="s">
        <v>19</v>
      </c>
      <c r="L15" s="11" t="s">
        <v>20</v>
      </c>
      <c r="M15" s="11" t="s">
        <v>49</v>
      </c>
    </row>
    <row r="16" ht="18.0" customHeight="1">
      <c r="A16" s="7">
        <v>11.0</v>
      </c>
      <c r="B16" s="8" t="s">
        <v>50</v>
      </c>
      <c r="C16" s="7" t="s">
        <v>51</v>
      </c>
      <c r="D16" s="7">
        <v>19.0</v>
      </c>
      <c r="E16" s="9">
        <v>19.0</v>
      </c>
      <c r="F16" s="7">
        <v>0.0</v>
      </c>
      <c r="G16" s="7">
        <v>0.0</v>
      </c>
      <c r="H16" s="7">
        <v>0.0</v>
      </c>
      <c r="I16" s="7" t="str">
        <f t="shared" si="1"/>
        <v>0%</v>
      </c>
      <c r="J16" s="7" t="s">
        <v>52</v>
      </c>
      <c r="K16" s="7" t="s">
        <v>19</v>
      </c>
      <c r="L16" s="7" t="s">
        <v>20</v>
      </c>
      <c r="M16" s="7" t="s">
        <v>53</v>
      </c>
    </row>
    <row r="17" ht="18.0" customHeight="1">
      <c r="A17" s="11">
        <v>12.0</v>
      </c>
      <c r="B17" s="12" t="s">
        <v>54</v>
      </c>
      <c r="C17" s="11" t="s">
        <v>55</v>
      </c>
      <c r="D17" s="11">
        <v>38.0</v>
      </c>
      <c r="E17" s="9">
        <v>30.0</v>
      </c>
      <c r="F17" s="10">
        <v>5.0</v>
      </c>
      <c r="G17" s="11">
        <v>0.0</v>
      </c>
      <c r="H17" s="14">
        <v>3.0</v>
      </c>
      <c r="I17" s="11" t="str">
        <f t="shared" si="1"/>
        <v>13,2%</v>
      </c>
      <c r="J17" s="11" t="s">
        <v>30</v>
      </c>
      <c r="K17" s="11" t="s">
        <v>19</v>
      </c>
      <c r="L17" s="11" t="s">
        <v>20</v>
      </c>
      <c r="M17" s="11" t="s">
        <v>56</v>
      </c>
    </row>
    <row r="18" ht="19.5" customHeight="1">
      <c r="A18" s="15" t="s">
        <v>57</v>
      </c>
      <c r="B18" s="16"/>
      <c r="C18" s="17"/>
      <c r="D18" s="18">
        <f t="shared" ref="D18:H18" si="2">SUM(D6:D17)</f>
        <v>284</v>
      </c>
      <c r="E18" s="18">
        <f t="shared" si="2"/>
        <v>260</v>
      </c>
      <c r="F18" s="18">
        <f t="shared" si="2"/>
        <v>11</v>
      </c>
      <c r="G18" s="18">
        <f t="shared" si="2"/>
        <v>3</v>
      </c>
      <c r="H18" s="18">
        <f t="shared" si="2"/>
        <v>10</v>
      </c>
      <c r="I18" s="18" t="str">
        <f>ROUND(E18/D18*100,1)&amp;"%"</f>
        <v>91,5%</v>
      </c>
    </row>
    <row r="19" ht="9.75" customHeight="1"/>
    <row r="20" ht="21.75" customHeight="1">
      <c r="A20" s="5" t="s">
        <v>58</v>
      </c>
      <c r="B20" s="2"/>
      <c r="C20" s="2"/>
      <c r="D20" s="2"/>
      <c r="E20" s="2"/>
      <c r="F20" s="2"/>
      <c r="G20" s="2"/>
      <c r="H20" s="2"/>
      <c r="I20" s="2"/>
      <c r="J20" s="2"/>
      <c r="K20" s="2"/>
      <c r="L20" s="2"/>
      <c r="M20" s="3"/>
    </row>
    <row r="21" ht="15.75" customHeight="1">
      <c r="A21" s="6" t="s">
        <v>59</v>
      </c>
      <c r="B21" s="6" t="s">
        <v>4</v>
      </c>
      <c r="C21" s="6" t="s">
        <v>60</v>
      </c>
      <c r="D21" s="6" t="s">
        <v>61</v>
      </c>
      <c r="E21" s="6" t="s">
        <v>12</v>
      </c>
      <c r="F21" s="6" t="s">
        <v>13</v>
      </c>
    </row>
    <row r="22" ht="18.0" customHeight="1">
      <c r="A22" s="7" t="s">
        <v>62</v>
      </c>
      <c r="B22" s="7" t="s">
        <v>16</v>
      </c>
      <c r="C22" s="8" t="s">
        <v>63</v>
      </c>
      <c r="D22" s="19" t="s">
        <v>18</v>
      </c>
      <c r="E22" s="7" t="s">
        <v>18</v>
      </c>
      <c r="F22" s="7" t="s">
        <v>64</v>
      </c>
    </row>
    <row r="23" ht="18.0" customHeight="1">
      <c r="A23" s="11" t="s">
        <v>65</v>
      </c>
      <c r="B23" s="11" t="s">
        <v>16</v>
      </c>
      <c r="C23" s="12" t="s">
        <v>66</v>
      </c>
      <c r="D23" s="20" t="s">
        <v>18</v>
      </c>
      <c r="E23" s="11" t="s">
        <v>18</v>
      </c>
      <c r="F23" s="11" t="s">
        <v>64</v>
      </c>
    </row>
    <row r="24" ht="18.0" customHeight="1">
      <c r="A24" s="7" t="s">
        <v>67</v>
      </c>
      <c r="B24" s="7" t="s">
        <v>16</v>
      </c>
      <c r="C24" s="21" t="s">
        <v>68</v>
      </c>
      <c r="D24" s="19" t="s">
        <v>18</v>
      </c>
      <c r="E24" s="7" t="s">
        <v>18</v>
      </c>
      <c r="F24" s="7" t="s">
        <v>64</v>
      </c>
    </row>
    <row r="25" ht="18.0" customHeight="1">
      <c r="A25" s="11" t="s">
        <v>69</v>
      </c>
      <c r="B25" s="11" t="s">
        <v>22</v>
      </c>
      <c r="C25" s="12" t="s">
        <v>70</v>
      </c>
      <c r="D25" s="22" t="s">
        <v>30</v>
      </c>
      <c r="E25" s="11" t="s">
        <v>30</v>
      </c>
      <c r="F25" s="11" t="s">
        <v>64</v>
      </c>
    </row>
    <row r="26" ht="18.0" customHeight="1">
      <c r="A26" s="7" t="s">
        <v>71</v>
      </c>
      <c r="B26" s="7" t="s">
        <v>35</v>
      </c>
      <c r="C26" s="8" t="s">
        <v>72</v>
      </c>
      <c r="D26" s="23" t="s">
        <v>30</v>
      </c>
      <c r="E26" s="7" t="s">
        <v>18</v>
      </c>
      <c r="F26" s="7" t="s">
        <v>64</v>
      </c>
    </row>
    <row r="27" ht="18.0" customHeight="1">
      <c r="A27" s="11" t="s">
        <v>73</v>
      </c>
      <c r="B27" s="11" t="s">
        <v>38</v>
      </c>
      <c r="C27" s="12" t="s">
        <v>74</v>
      </c>
      <c r="D27" s="22" t="s">
        <v>30</v>
      </c>
      <c r="E27" s="11" t="s">
        <v>18</v>
      </c>
      <c r="F27" s="11" t="s">
        <v>64</v>
      </c>
    </row>
    <row r="28" ht="18.0" customHeight="1">
      <c r="A28" s="7" t="s">
        <v>75</v>
      </c>
      <c r="B28" s="7" t="s">
        <v>54</v>
      </c>
      <c r="C28" s="8" t="s">
        <v>76</v>
      </c>
      <c r="D28" s="19" t="s">
        <v>18</v>
      </c>
      <c r="E28" s="7" t="s">
        <v>18</v>
      </c>
      <c r="F28" s="7" t="s">
        <v>64</v>
      </c>
    </row>
    <row r="29" ht="18.0" customHeight="1">
      <c r="A29" s="11" t="s">
        <v>77</v>
      </c>
      <c r="B29" s="11" t="s">
        <v>54</v>
      </c>
      <c r="C29" s="12" t="s">
        <v>78</v>
      </c>
      <c r="D29" s="24" t="s">
        <v>79</v>
      </c>
      <c r="E29" s="11" t="s">
        <v>18</v>
      </c>
      <c r="F29" s="11" t="s">
        <v>64</v>
      </c>
    </row>
    <row r="30" ht="18.0" customHeight="1">
      <c r="A30" s="7" t="s">
        <v>80</v>
      </c>
      <c r="B30" s="7" t="s">
        <v>54</v>
      </c>
      <c r="C30" s="8" t="s">
        <v>81</v>
      </c>
      <c r="D30" s="25" t="s">
        <v>79</v>
      </c>
      <c r="E30" s="7" t="s">
        <v>18</v>
      </c>
      <c r="F30" s="7" t="s">
        <v>64</v>
      </c>
    </row>
    <row r="31" ht="18.0" customHeight="1">
      <c r="A31" s="11" t="s">
        <v>82</v>
      </c>
      <c r="B31" s="11" t="s">
        <v>54</v>
      </c>
      <c r="C31" s="12" t="s">
        <v>83</v>
      </c>
      <c r="D31" s="24" t="s">
        <v>79</v>
      </c>
      <c r="E31" s="11" t="s">
        <v>18</v>
      </c>
      <c r="F31" s="11" t="s">
        <v>64</v>
      </c>
    </row>
    <row r="32" ht="18.0" customHeight="1">
      <c r="A32" s="7" t="s">
        <v>84</v>
      </c>
      <c r="B32" s="7" t="s">
        <v>54</v>
      </c>
      <c r="C32" s="8" t="s">
        <v>85</v>
      </c>
      <c r="D32" s="19" t="s">
        <v>18</v>
      </c>
      <c r="E32" s="7" t="s">
        <v>18</v>
      </c>
      <c r="F32" s="7" t="s">
        <v>64</v>
      </c>
    </row>
    <row r="33" ht="18.0" customHeight="1">
      <c r="A33" s="11" t="s">
        <v>86</v>
      </c>
      <c r="B33" s="11" t="s">
        <v>50</v>
      </c>
      <c r="C33" s="12" t="s">
        <v>87</v>
      </c>
      <c r="D33" s="22" t="s">
        <v>30</v>
      </c>
      <c r="E33" s="11" t="s">
        <v>30</v>
      </c>
      <c r="F33" s="11" t="s">
        <v>64</v>
      </c>
    </row>
    <row r="34" ht="15.75" customHeight="1"/>
    <row r="35" ht="15.75" customHeight="1"/>
    <row r="36" ht="21.75" customHeight="1">
      <c r="A36" s="5" t="s">
        <v>88</v>
      </c>
      <c r="B36" s="2"/>
      <c r="C36" s="2"/>
      <c r="D36" s="2"/>
      <c r="E36" s="2"/>
      <c r="F36" s="2"/>
      <c r="G36" s="2"/>
      <c r="H36" s="2"/>
      <c r="I36" s="2"/>
      <c r="J36" s="2"/>
      <c r="K36" s="2"/>
      <c r="L36" s="2"/>
      <c r="M36" s="3"/>
    </row>
    <row r="37" ht="69.75" customHeight="1">
      <c r="A37" s="26" t="s">
        <v>89</v>
      </c>
      <c r="B37" s="27"/>
      <c r="C37" s="27"/>
      <c r="D37" s="27"/>
      <c r="E37" s="27"/>
      <c r="F37" s="27"/>
      <c r="G37" s="27"/>
      <c r="H37" s="27"/>
      <c r="I37" s="27"/>
      <c r="J37" s="27"/>
      <c r="K37" s="27"/>
      <c r="L37" s="27"/>
      <c r="M37" s="28"/>
    </row>
    <row r="38" ht="15.75" customHeight="1">
      <c r="A38" s="29"/>
      <c r="M38" s="30"/>
    </row>
    <row r="39" ht="15.75" customHeight="1">
      <c r="A39" s="31"/>
      <c r="B39" s="32"/>
      <c r="C39" s="32"/>
      <c r="D39" s="32"/>
      <c r="E39" s="32"/>
      <c r="F39" s="32"/>
      <c r="G39" s="32"/>
      <c r="H39" s="32"/>
      <c r="I39" s="32"/>
      <c r="J39" s="32"/>
      <c r="K39" s="32"/>
      <c r="L39" s="32"/>
      <c r="M39" s="3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M1"/>
    <mergeCell ref="A2:M2"/>
    <mergeCell ref="A4:M4"/>
    <mergeCell ref="A18:C18"/>
    <mergeCell ref="A20:M20"/>
    <mergeCell ref="A36:M36"/>
    <mergeCell ref="A37:M39"/>
  </mergeCells>
  <printOptions/>
  <pageMargins bottom="1.0" footer="0.0" header="0.0" left="0.75" right="0.75" top="1.0"/>
  <pageSetup paperSize="9" orientation="portrait"/>
  <drawing r:id="rId1"/>
</worksheet>
</file>